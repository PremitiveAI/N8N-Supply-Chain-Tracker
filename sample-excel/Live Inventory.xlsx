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_RESPONSES_GARAGE" sheetId="1" r:id="rId5"/>
    <sheet state="visible" name="FORM_RESPONSES_RETAILER" sheetId="2" r:id="rId6"/>
    <sheet state="visible" name="FORM_RESPONSES_DISTRIBUTOR" sheetId="3" r:id="rId7"/>
    <sheet state="visible" name="FORM_RESPONSES_MANUFACTURER" sheetId="4" r:id="rId8"/>
    <sheet state="visible" name="PRODUCTS" sheetId="5" r:id="rId9"/>
    <sheet state="visible" name="ORGANIZATIONS" sheetId="6" r:id="rId10"/>
    <sheet state="visible" name="INVENTORY" sheetId="7" r:id="rId11"/>
    <sheet state="visible" name="ORDERS" sheetId="8" r:id="rId12"/>
    <sheet state="visible" name="TRANSACTIONS" sheetId="9" r:id="rId13"/>
    <sheet state="visible" name="PRICE_HISTORY" sheetId="10" r:id="rId14"/>
    <sheet state="visible" name="USERS" sheetId="11" r:id="rId15"/>
    <sheet state="visible" name="DASHBOARD" sheetId="12" r:id="rId16"/>
    <sheet state="visible" name="ERROR_LOG" sheetId="13" r:id="rId17"/>
  </sheets>
  <definedNames/>
  <calcPr/>
</workbook>
</file>

<file path=xl/sharedStrings.xml><?xml version="1.0" encoding="utf-8"?>
<sst xmlns="http://schemas.openxmlformats.org/spreadsheetml/2006/main" count="654" uniqueCount="253">
  <si>
    <t>Timestamp</t>
  </si>
  <si>
    <t>Email Address</t>
  </si>
  <si>
    <t>From (Seller) Organization</t>
  </si>
  <si>
    <t>To (Buyer) Organization</t>
  </si>
  <si>
    <t>Transaction Type</t>
  </si>
  <si>
    <t>Product</t>
  </si>
  <si>
    <t>Quantity</t>
  </si>
  <si>
    <t>Required Date</t>
  </si>
  <si>
    <t>Priority</t>
  </si>
  <si>
    <t>Remarks</t>
  </si>
  <si>
    <t>preeti.tarade@gmail.com</t>
  </si>
  <si>
    <t>amit.wakade@gmail.com</t>
  </si>
  <si>
    <t>yash.shinde@gmail.com</t>
  </si>
  <si>
    <t>ORG-000003 - Retailer DEF</t>
  </si>
  <si>
    <t>ORG-000004 - Garage GHI</t>
  </si>
  <si>
    <t>ORG-000001 - Manufacturer ABC</t>
  </si>
  <si>
    <t>ORG-000002 - Distributor XYZ</t>
  </si>
  <si>
    <t>SALE</t>
  </si>
  <si>
    <t>RETURN</t>
  </si>
  <si>
    <t>P-000003 - Spark Plug</t>
  </si>
  <si>
    <t>P-000001 - Brake Pad</t>
  </si>
  <si>
    <t>HIGH</t>
  </si>
  <si>
    <t>NORMAL</t>
  </si>
  <si>
    <t>HIghly urgent</t>
  </si>
  <si>
    <t>NP</t>
  </si>
  <si>
    <t>P-000004 - Air Filter</t>
  </si>
  <si>
    <t>URGENT</t>
  </si>
  <si>
    <t>kk</t>
  </si>
  <si>
    <t>spreadsheetId</t>
  </si>
  <si>
    <t>Product_ID</t>
  </si>
  <si>
    <t>SKU</t>
  </si>
  <si>
    <t>Product_Name</t>
  </si>
  <si>
    <t>Category</t>
  </si>
  <si>
    <t>Unit</t>
  </si>
  <si>
    <t>Base_Cost</t>
  </si>
  <si>
    <t>Manufacturer_Price</t>
  </si>
  <si>
    <t>ok</t>
  </si>
  <si>
    <t>Distributor_Price</t>
  </si>
  <si>
    <t>Retailer_Price</t>
  </si>
  <si>
    <t>Garage_Price</t>
  </si>
  <si>
    <t>MRP</t>
  </si>
  <si>
    <t>Tax</t>
  </si>
  <si>
    <t>Reorder_Level</t>
  </si>
  <si>
    <t>Active</t>
  </si>
  <si>
    <t>Updated_At</t>
  </si>
  <si>
    <t>User_ID</t>
  </si>
  <si>
    <t>Name</t>
  </si>
  <si>
    <t>Email</t>
  </si>
  <si>
    <t>Role</t>
  </si>
  <si>
    <t>Organization_ID</t>
  </si>
  <si>
    <t>Organization_Name</t>
  </si>
  <si>
    <t>Organization_Type</t>
  </si>
  <si>
    <t>Type</t>
  </si>
  <si>
    <t>Created_At</t>
  </si>
  <si>
    <t>Parent_Organization_ID</t>
  </si>
  <si>
    <t>Contact</t>
  </si>
  <si>
    <t>Phone</t>
  </si>
  <si>
    <t>Location</t>
  </si>
  <si>
    <t>P-000001</t>
  </si>
  <si>
    <t>BP-100</t>
  </si>
  <si>
    <t>Brake Pad</t>
  </si>
  <si>
    <t>Braking</t>
  </si>
  <si>
    <t>pcs</t>
  </si>
  <si>
    <t>ORG-000001</t>
  </si>
  <si>
    <t>Manufacturer ABC</t>
  </si>
  <si>
    <t>2026-09-10T08:13:45.946Z</t>
  </si>
  <si>
    <t>MANUFACTURER</t>
  </si>
  <si>
    <t>Admin</t>
  </si>
  <si>
    <t>admin@manufacturer.example</t>
  </si>
  <si>
    <t>Plant 1</t>
  </si>
  <si>
    <t>P-000002</t>
  </si>
  <si>
    <t>OF-200</t>
  </si>
  <si>
    <t>Oil Filter</t>
  </si>
  <si>
    <t>Engine</t>
  </si>
  <si>
    <t>P-000003</t>
  </si>
  <si>
    <t>SP-300</t>
  </si>
  <si>
    <t>ORG-000002</t>
  </si>
  <si>
    <t>Spark Plug</t>
  </si>
  <si>
    <t>Ignition</t>
  </si>
  <si>
    <t>Distributor XYZ</t>
  </si>
  <si>
    <t>DISTRIBUTOR</t>
  </si>
  <si>
    <t>Dist Manager</t>
  </si>
  <si>
    <t>dist@example.com</t>
  </si>
  <si>
    <t>Warehouse 1</t>
  </si>
  <si>
    <t>P-000004</t>
  </si>
  <si>
    <t>AF-400</t>
  </si>
  <si>
    <t>Air Filter</t>
  </si>
  <si>
    <t>ORG-000003</t>
  </si>
  <si>
    <t>Retailer DEF</t>
  </si>
  <si>
    <t>RETAILER</t>
  </si>
  <si>
    <t>Retail Manager</t>
  </si>
  <si>
    <t>retail@example.com</t>
  </si>
  <si>
    <t>Store 1</t>
  </si>
  <si>
    <t>2026-09-10T08:33:30.158Z</t>
  </si>
  <si>
    <t>U-20260910-8Z7ZTJ</t>
  </si>
  <si>
    <t>Demo Distributor User</t>
  </si>
  <si>
    <t>ORG-000004</t>
  </si>
  <si>
    <t>newdist@example.com</t>
  </si>
  <si>
    <t>Inventory_ID	Organization_ID	Organization_Name	Organization_Type	Product_ID	SKU	Pr</t>
  </si>
  <si>
    <t>Garage GHI</t>
  </si>
  <si>
    <t>GARAGE</t>
  </si>
  <si>
    <t>Garage Owner</t>
  </si>
  <si>
    <t>Inventory_ID</t>
  </si>
  <si>
    <t>garage@example.com</t>
  </si>
  <si>
    <t>P-20260910-CZNDZD</t>
  </si>
  <si>
    <t>Workshop 1</t>
  </si>
  <si>
    <t>FF-500</t>
  </si>
  <si>
    <t>Fuel Filter</t>
  </si>
  <si>
    <t>Filtration</t>
  </si>
  <si>
    <t>2026-09-10T08:34:27.995Z</t>
  </si>
  <si>
    <t>ORG-20260910-F94IM7</t>
  </si>
  <si>
    <t>Distributor East</t>
  </si>
  <si>
    <t>New Manager</t>
  </si>
  <si>
    <t>dist2@example.com</t>
  </si>
  <si>
    <t>Warehouse 2</t>
  </si>
  <si>
    <t>2026-09-10T08:34:38.187Z</t>
  </si>
  <si>
    <t>INV-000001-P-000001	ORG-000001	Manufacturer ABC	MANUFACTURER	P-000001	BP-100	Brake Pad	1000	0	1000	6</t>
  </si>
  <si>
    <t>2026-09-11INV-000001-P-000003</t>
  </si>
  <si>
    <t>2026-09-11INV-000001-P-000004</t>
  </si>
  <si>
    <t>INV-000001-P-000001</t>
  </si>
  <si>
    <t>2026-09-09T10:00:00.000Z</t>
  </si>
  <si>
    <t>2026-09-09T11:00:00.000Z</t>
  </si>
  <si>
    <t>2026-09-09T12:00:00.000Z</t>
  </si>
  <si>
    <t>2026-09-10T08:24:32.814Z</t>
  </si>
  <si>
    <t>2026-09-10T08:48:12.550Z</t>
  </si>
  <si>
    <t>2026-09-10T08:50:26.696Z</t>
  </si>
  <si>
    <t>2026-09-10T09:50:30.536Z</t>
  </si>
  <si>
    <t>2026-09-10T11:44:11.530Z</t>
  </si>
  <si>
    <t>2026-09-10T11:54:08.920Z</t>
  </si>
  <si>
    <t>Transaction_ID</t>
  </si>
  <si>
    <t>Request_ID</t>
  </si>
  <si>
    <t>Order_ID</t>
  </si>
  <si>
    <t>User_Email</t>
  </si>
  <si>
    <t>Transaction_Type</t>
  </si>
  <si>
    <t>From_Organization_ID</t>
  </si>
  <si>
    <t>From_Organization</t>
  </si>
  <si>
    <t>From_Type</t>
  </si>
  <si>
    <t>To_Organization_ID</t>
  </si>
  <si>
    <t>To_Organization</t>
  </si>
  <si>
    <t>To_Type</t>
  </si>
  <si>
    <t>Unit_Price</t>
  </si>
  <si>
    <t>Total</t>
  </si>
  <si>
    <t>Transaction_Status</t>
  </si>
  <si>
    <t>TXN-20260909-DEMO01</t>
  </si>
  <si>
    <t>REQ-20260909-DEMO01</t>
  </si>
  <si>
    <t>ORD-20260909-DEMO01</t>
  </si>
  <si>
    <t>yashshinde.sae.comp@gmail.com</t>
  </si>
  <si>
    <t>COMPLETED</t>
  </si>
  <si>
    <t>TXN-20260909-DEMO02</t>
  </si>
  <si>
    <t>REQ-20260909-DEMO02</t>
  </si>
  <si>
    <t>ORD-20260909-DEMO02</t>
  </si>
  <si>
    <t>TXN-20260909-DEMO03</t>
  </si>
  <si>
    <t>REQ-20260909-DEMO03</t>
  </si>
  <si>
    <t>ORD-20260909-DEMO03</t>
  </si>
  <si>
    <t>TXN-20260910-W2GBXD</t>
  </si>
  <si>
    <t>REQ-20260910-ZJLHUS</t>
  </si>
  <si>
    <t>ORD-20260910-7OTHSL</t>
  </si>
  <si>
    <t>TXN-20260910-H9KIQ5</t>
  </si>
  <si>
    <t>REQ-20260910-LG2NYX</t>
  </si>
  <si>
    <t>ORD-20260910-VAPBUA</t>
  </si>
  <si>
    <t>TXN-20260910-BZ959E</t>
  </si>
  <si>
    <t>REQ-20260910-ALYXRA</t>
  </si>
  <si>
    <t>ORD-20260910-XM2O9H</t>
  </si>
  <si>
    <t>TXN-20260910-R9IAGZ</t>
  </si>
  <si>
    <t>REQ-20260910-KPWTQ5</t>
  </si>
  <si>
    <t>ORD-20260910-HCKMMH</t>
  </si>
  <si>
    <t>TXN-20260910-M8K3W4</t>
  </si>
  <si>
    <t>REQ-20260910-DQTM8Y</t>
  </si>
  <si>
    <t>ORD-20260910-GZ3W52</t>
  </si>
  <si>
    <t>TXN-20260910-JY697A</t>
  </si>
  <si>
    <t>REQ-20260910-TCEP57</t>
  </si>
  <si>
    <t>ORD-20260910-H7J9DU</t>
  </si>
  <si>
    <t>Price_ID</t>
  </si>
  <si>
    <t>Effective_From</t>
  </si>
  <si>
    <t>Changed_By</t>
  </si>
  <si>
    <t>PRC-000001</t>
  </si>
  <si>
    <t>2026-09-01T09:00:00.000Z</t>
  </si>
  <si>
    <t>PRC-000002</t>
  </si>
  <si>
    <t>PRC-000003</t>
  </si>
  <si>
    <t>PRC-000004</t>
  </si>
  <si>
    <t>U-000001</t>
  </si>
  <si>
    <t>Super Admin</t>
  </si>
  <si>
    <t>SUPER_ADMIN</t>
  </si>
  <si>
    <t>U-000002</t>
  </si>
  <si>
    <t>Yash</t>
  </si>
  <si>
    <t>2026-09-10T08:23:31.621Z</t>
  </si>
  <si>
    <t>U-20260910-1OQO7H</t>
  </si>
  <si>
    <t>Amit Wakade</t>
  </si>
  <si>
    <t>amit.wakde@premitivekey.com</t>
  </si>
  <si>
    <t>2026-09-10T08:38:33.126Z</t>
  </si>
  <si>
    <t>U-20260910-HDFRP4</t>
  </si>
  <si>
    <t>amit wakade</t>
  </si>
  <si>
    <t>2026-09-10T11:52:11.690Z</t>
  </si>
  <si>
    <t>KPI</t>
  </si>
  <si>
    <t>VALUE</t>
  </si>
  <si>
    <t>Total Orders</t>
  </si>
  <si>
    <t>Total Revenue</t>
  </si>
  <si>
    <t>Total Transactions</t>
  </si>
  <si>
    <t>Total Inventory Value</t>
  </si>
  <si>
    <t>Pending Orders</t>
  </si>
  <si>
    <t>Completed Orders</t>
  </si>
  <si>
    <t>Low Stock Items</t>
  </si>
  <si>
    <t>Active Products</t>
  </si>
  <si>
    <t>Errors Logged</t>
  </si>
  <si>
    <t>Error_ID</t>
  </si>
  <si>
    <t>Error_Type</t>
  </si>
  <si>
    <t>Error_Message</t>
  </si>
  <si>
    <t>Workflow_Name</t>
  </si>
  <si>
    <t>Node_Name</t>
  </si>
  <si>
    <t>Status</t>
  </si>
  <si>
    <t>ERR-20260909-DEMO01</t>
  </si>
  <si>
    <t>2026-09-09T13:00:00.000Z</t>
  </si>
  <si>
    <t>REQ-20260909-BAD01</t>
  </si>
  <si>
    <t>someone@example.com</t>
  </si>
  <si>
    <t>INSUFFICIENT_STOCK</t>
  </si>
  <si>
    <t>Available 10 &lt; requested 500</t>
  </si>
  <si>
    <t>Live Inventory &amp; Supply Chain Management MVP</t>
  </si>
  <si>
    <t>Normalize &amp; Validate</t>
  </si>
  <si>
    <t>OPEN</t>
  </si>
  <si>
    <t>ERR-20260909-DEMO02</t>
  </si>
  <si>
    <t>2026-09-09T14:00:00.000Z</t>
  </si>
  <si>
    <t>REQ-20260909-BAD02</t>
  </si>
  <si>
    <t>unknown@example.com</t>
  </si>
  <si>
    <t>INVALID_USER</t>
  </si>
  <si>
    <t>User missing or inactive</t>
  </si>
  <si>
    <t>ERR-20260910-4TB6J1</t>
  </si>
  <si>
    <t>2026-09-10T08:59:41.674Z</t>
  </si>
  <si>
    <t>REQ-20260910-AX4E2I</t>
  </si>
  <si>
    <t>INVALID_ROUTE</t>
  </si>
  <si>
    <t>Invalid supply chain route: MANUFACTURER -&gt; RETAILER</t>
  </si>
  <si>
    <t>ERR-20260911-3V2O34</t>
  </si>
  <si>
    <t>2026-09-11T05:48:50.140Z</t>
  </si>
  <si>
    <t>REQ-20260911-XX3EU6</t>
  </si>
  <si>
    <t>Available 0 &lt; requested 3</t>
  </si>
  <si>
    <t>ERR-20260911-Q7TAQB</t>
  </si>
  <si>
    <t>2026-09-11T05:53:18.301Z</t>
  </si>
  <si>
    <t>REQ-20260911-B9AAAJ</t>
  </si>
  <si>
    <t>Available 0 &lt; requested 1</t>
  </si>
  <si>
    <t>ERR-20260911-K5TFWP</t>
  </si>
  <si>
    <t>2026-09-11T05:55:21.805Z</t>
  </si>
  <si>
    <t>REQ-20260911-K8UL08</t>
  </si>
  <si>
    <t>Available 0 &lt; requested 5</t>
  </si>
  <si>
    <t>ERR-20260911-YACOLP</t>
  </si>
  <si>
    <t>2026-09-11T10:11:50.594Z</t>
  </si>
  <si>
    <t>REQ-20260911-8ODGT1</t>
  </si>
  <si>
    <t>Available 0 &lt; requested 11</t>
  </si>
  <si>
    <t>ERR-20260911-DRJGKM</t>
  </si>
  <si>
    <t>2026-09-11T11:41:49.520Z</t>
  </si>
  <si>
    <t>REQ-20260911-WEDZS9</t>
  </si>
  <si>
    <t>Available 0 &lt; requested 10</t>
  </si>
  <si>
    <t>ERR-20260916-LC67N0</t>
  </si>
  <si>
    <t>2026-09-16T10:16:37.760Z</t>
  </si>
  <si>
    <t>REQ-20260916-E8P9OX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</si>
</sst>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3" fontId="1" numFmtId="0" xfId="0" applyAlignment="1" applyFill="1" applyFont="1">
      <alignment horizontal="center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0" fillId="4" fontId="1" numFmtId="0" xfId="0" applyAlignment="1" applyFill="1" applyFont="1">
      <alignment horizontal="center"/>
    </xf>
    <xf borderId="1" fillId="5" fontId="1" numFmtId="165" xfId="0" applyAlignment="1" applyBorder="1" applyFill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0" fillId="7" fontId="1" numFmtId="0" xfId="0" applyAlignment="1" applyFill="1" applyFont="1">
      <alignment horizontal="center"/>
    </xf>
    <xf borderId="1" fillId="8" fontId="1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1" fillId="9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readingOrder="0"/>
    </xf>
    <xf borderId="0" fillId="10" fontId="1" numFmtId="0" xfId="0" applyFill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FORM_RESPONSES_RETAIL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S_DISTRIBU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S_MANUFACTUR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S_GAR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" displayName="Form_Responses4" name="Form_Responses4" id="4">
  <tableColumns count="10">
    <tableColumn name="Timestamp" id="1"/>
    <tableColumn name="Email Address" id="2"/>
    <tableColumn name="From (Seller) Organization" id="3"/>
    <tableColumn name="To (Buyer) Organization" id="4"/>
    <tableColumn name="Transaction Type" id="5"/>
    <tableColumn name="Product" id="6"/>
    <tableColumn name="Quantity" id="7"/>
    <tableColumn name="Required Date" id="8"/>
    <tableColumn name="Priority" id="9"/>
    <tableColumn name="Remarks" id="10"/>
  </tableColumns>
  <tableStyleInfo name="FORM_RESPONSES_GARAGE-style" showColumnStripes="0" showFirstColumn="1" showLastColumn="1" showRowStripes="1"/>
</table>
</file>

<file path=xl/tables/table2.xml><?xml version="1.0" encoding="utf-8"?>
<table xmlns="http://schemas.openxmlformats.org/spreadsheetml/2006/main" ref="A1:J2" displayName="Form_Responses3" name="Form_Responses3" id="1">
  <tableColumns count="10">
    <tableColumn name="Timestamp" id="1"/>
    <tableColumn name="Email Address" id="2"/>
    <tableColumn name="From (Seller) Organization" id="3"/>
    <tableColumn name="To (Buyer) Organization" id="4"/>
    <tableColumn name="Transaction Type" id="5"/>
    <tableColumn name="Product" id="6"/>
    <tableColumn name="Quantity" id="7"/>
    <tableColumn name="Required Date" id="8"/>
    <tableColumn name="Priority" id="9"/>
    <tableColumn name="Remarks" id="10"/>
  </tableColumns>
  <tableStyleInfo name="FORM_RESPONSES_RETAILER-style" showColumnStripes="0" showFirstColumn="1" showLastColumn="1" showRowStripes="1"/>
</table>
</file>

<file path=xl/tables/table3.xml><?xml version="1.0" encoding="utf-8"?>
<table xmlns="http://schemas.openxmlformats.org/spreadsheetml/2006/main" ref="A1:J3" displayName="Form_Responses2" name="Form_Responses2" id="2">
  <tableColumns count="10">
    <tableColumn name="Timestamp" id="1"/>
    <tableColumn name="Email Address" id="2"/>
    <tableColumn name="From (Seller) Organization" id="3"/>
    <tableColumn name="To (Buyer) Organization" id="4"/>
    <tableColumn name="Transaction Type" id="5"/>
    <tableColumn name="Product" id="6"/>
    <tableColumn name="Quantity" id="7"/>
    <tableColumn name="Required Date" id="8"/>
    <tableColumn name="Priority" id="9"/>
    <tableColumn name="Remarks" id="10"/>
  </tableColumns>
  <tableStyleInfo name="FORM_RESPONSES_DISTRIBUTOR-style" showColumnStripes="0" showFirstColumn="1" showLastColumn="1" showRowStripes="1"/>
</table>
</file>

<file path=xl/tables/table4.xml><?xml version="1.0" encoding="utf-8"?>
<table xmlns="http://schemas.openxmlformats.org/spreadsheetml/2006/main" ref="A1:J5" displayName="Form_Responses" name="Form_Responses" id="3">
  <tableColumns count="10">
    <tableColumn name="Timestamp" id="1"/>
    <tableColumn name="Email Address" id="2"/>
    <tableColumn name="From (Seller) Organization" id="3"/>
    <tableColumn name="To (Buyer) Organization" id="4"/>
    <tableColumn name="Transaction Type" id="5"/>
    <tableColumn name="Product" id="6"/>
    <tableColumn name="Quantity" id="7"/>
    <tableColumn name="Required Date" id="8"/>
    <tableColumn name="Priority" id="9"/>
    <tableColumn name="Remarks" id="10"/>
  </tableColumns>
  <tableStyleInfo name="FORM_RESPONSES_MANUFACTUR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38"/>
    <col customWidth="1" min="4" max="4" width="22.38"/>
    <col customWidth="1" min="5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46282.55742643519</v>
      </c>
      <c r="B2" s="3" t="s">
        <v>11</v>
      </c>
      <c r="C2" s="3" t="s">
        <v>14</v>
      </c>
      <c r="D2" s="3" t="s">
        <v>13</v>
      </c>
      <c r="E2" s="3" t="s">
        <v>18</v>
      </c>
      <c r="F2" s="3" t="s">
        <v>20</v>
      </c>
      <c r="G2" s="3">
        <v>90.0</v>
      </c>
      <c r="H2" s="4">
        <v>46283.0</v>
      </c>
      <c r="I2" s="3" t="s">
        <v>22</v>
      </c>
      <c r="J2" s="3" t="s">
        <v>24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38"/>
    <col customWidth="1" min="4" max="4" width="22.38"/>
    <col customWidth="1" min="5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46282.558515150464</v>
      </c>
      <c r="B2" s="3" t="s">
        <v>10</v>
      </c>
      <c r="C2" s="3" t="s">
        <v>13</v>
      </c>
      <c r="D2" s="3" t="s">
        <v>14</v>
      </c>
      <c r="E2" s="3" t="s">
        <v>17</v>
      </c>
      <c r="F2" s="3" t="s">
        <v>19</v>
      </c>
      <c r="G2" s="3">
        <v>10.0</v>
      </c>
      <c r="H2" s="4">
        <v>46283.0</v>
      </c>
      <c r="I2" s="3" t="s">
        <v>21</v>
      </c>
      <c r="J2" s="3" t="s">
        <v>23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38"/>
    <col customWidth="1" min="4" max="4" width="22.38"/>
    <col customWidth="1" min="5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/>
      <c r="B2" s="3"/>
      <c r="C2" s="3"/>
      <c r="D2" s="3"/>
      <c r="E2" s="3"/>
      <c r="F2" s="3"/>
      <c r="G2" s="3"/>
      <c r="H2" s="4"/>
      <c r="I2" s="3"/>
      <c r="J2" s="3"/>
    </row>
    <row r="3" ht="22.5" customHeight="1">
      <c r="A3" s="6"/>
      <c r="H3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38"/>
    <col customWidth="1" min="4" max="4" width="22.38"/>
    <col customWidth="1" min="5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46276.469645254634</v>
      </c>
      <c r="B2" s="3" t="s">
        <v>12</v>
      </c>
      <c r="C2" s="3" t="s">
        <v>15</v>
      </c>
      <c r="D2" s="3" t="s">
        <v>16</v>
      </c>
      <c r="E2" s="3" t="s">
        <v>17</v>
      </c>
      <c r="F2" s="3" t="s">
        <v>20</v>
      </c>
      <c r="G2" s="3">
        <v>3.0</v>
      </c>
      <c r="H2" s="5"/>
      <c r="I2" s="5"/>
      <c r="J2" s="5"/>
    </row>
    <row r="3" ht="22.5" customHeight="1">
      <c r="A3" s="6">
        <v>46276.545385844904</v>
      </c>
      <c r="B3" s="3" t="s">
        <v>12</v>
      </c>
      <c r="C3" s="7" t="s">
        <v>15</v>
      </c>
      <c r="D3" s="7" t="s">
        <v>16</v>
      </c>
      <c r="E3" s="7" t="s">
        <v>17</v>
      </c>
      <c r="F3" s="7" t="s">
        <v>25</v>
      </c>
      <c r="G3" s="7">
        <v>13.0</v>
      </c>
      <c r="H3" s="8">
        <v>46276.0</v>
      </c>
    </row>
    <row r="4" ht="22.5" customHeight="1">
      <c r="A4" s="6">
        <v>46276.65387231481</v>
      </c>
      <c r="B4" s="3" t="s">
        <v>12</v>
      </c>
      <c r="C4" s="7" t="s">
        <v>15</v>
      </c>
      <c r="D4" s="7" t="s">
        <v>16</v>
      </c>
      <c r="E4" s="7" t="s">
        <v>17</v>
      </c>
      <c r="F4" s="7" t="s">
        <v>19</v>
      </c>
      <c r="G4" s="7">
        <v>11.0</v>
      </c>
      <c r="H4" s="8">
        <v>46276.0</v>
      </c>
      <c r="I4" s="7" t="s">
        <v>26</v>
      </c>
      <c r="J4" s="7" t="s">
        <v>27</v>
      </c>
    </row>
    <row r="5" ht="22.5" customHeight="1">
      <c r="A5" s="6">
        <v>46276.71579834491</v>
      </c>
      <c r="B5" s="3" t="s">
        <v>12</v>
      </c>
      <c r="C5" s="7" t="s">
        <v>15</v>
      </c>
      <c r="D5" s="7" t="s">
        <v>16</v>
      </c>
      <c r="E5" s="7" t="s">
        <v>17</v>
      </c>
      <c r="F5" s="7" t="s">
        <v>20</v>
      </c>
      <c r="G5" s="7">
        <v>10.0</v>
      </c>
      <c r="H5" s="8">
        <v>46277.0</v>
      </c>
      <c r="I5" s="7" t="s">
        <v>21</v>
      </c>
      <c r="J5" s="7" t="s">
        <v>36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5"/>
    <col customWidth="1" min="3" max="3" width="6.63"/>
    <col customWidth="1" min="4" max="4" width="12.13"/>
    <col customWidth="1" min="5" max="5" width="7.75"/>
    <col customWidth="1" min="6" max="6" width="4.0"/>
    <col customWidth="1" min="7" max="7" width="9.13"/>
    <col customWidth="1" min="8" max="8" width="15.5"/>
    <col customWidth="1" min="9" max="9" width="13.38"/>
    <col customWidth="1" min="10" max="10" width="11.5"/>
    <col customWidth="1" min="11" max="11" width="11.25"/>
    <col customWidth="1" min="12" max="12" width="4.75"/>
    <col customWidth="1" min="13" max="13" width="3.63"/>
    <col customWidth="1" min="14" max="14" width="11.88"/>
    <col customWidth="1" min="15" max="15" width="5.5"/>
    <col customWidth="1" min="16" max="16" width="21.25"/>
    <col customWidth="1" min="17" max="17" width="16.5"/>
    <col customWidth="1" min="18" max="18" width="17.5"/>
    <col customWidth="1" min="19" max="19" width="18.25"/>
    <col customWidth="1" min="20" max="20" width="12.25"/>
    <col customWidth="1" min="21" max="21" width="13.0"/>
    <col customWidth="1" min="22" max="22" width="15.88"/>
    <col customWidth="1" min="23" max="23" width="15.0"/>
    <col customWidth="1" min="24" max="24" width="21.25"/>
  </cols>
  <sheetData>
    <row r="1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53</v>
      </c>
      <c r="Y1" s="11"/>
      <c r="Z1" s="12"/>
      <c r="AA1" s="12"/>
    </row>
    <row r="2">
      <c r="A2" s="13"/>
      <c r="B2" s="15" t="s">
        <v>58</v>
      </c>
      <c r="C2" s="15" t="s">
        <v>59</v>
      </c>
      <c r="D2" s="15" t="s">
        <v>60</v>
      </c>
      <c r="E2" s="15" t="s">
        <v>61</v>
      </c>
      <c r="F2" s="15" t="s">
        <v>62</v>
      </c>
      <c r="G2" s="15">
        <v>400.0</v>
      </c>
      <c r="H2" s="15">
        <v>500.0</v>
      </c>
      <c r="I2" s="15">
        <v>600.0</v>
      </c>
      <c r="J2" s="15">
        <v>700.0</v>
      </c>
      <c r="K2" s="15">
        <v>800.0</v>
      </c>
      <c r="L2" s="15">
        <v>950.0</v>
      </c>
      <c r="M2" s="15">
        <v>18.0</v>
      </c>
      <c r="N2" s="15">
        <v>100.0</v>
      </c>
      <c r="O2" s="15" t="b">
        <v>1</v>
      </c>
      <c r="P2" s="15" t="s">
        <v>65</v>
      </c>
      <c r="Q2" s="13"/>
      <c r="R2" s="13"/>
      <c r="S2" s="13"/>
      <c r="T2" s="13"/>
      <c r="U2" s="13"/>
      <c r="V2" s="13"/>
      <c r="W2" s="13"/>
      <c r="X2" s="13"/>
      <c r="Y2" s="12"/>
      <c r="Z2" s="12"/>
      <c r="AA2" s="12"/>
    </row>
    <row r="3">
      <c r="A3" s="13"/>
      <c r="B3" s="15" t="s">
        <v>70</v>
      </c>
      <c r="C3" s="15" t="s">
        <v>71</v>
      </c>
      <c r="D3" s="15" t="s">
        <v>72</v>
      </c>
      <c r="E3" s="15" t="s">
        <v>73</v>
      </c>
      <c r="F3" s="15" t="s">
        <v>62</v>
      </c>
      <c r="G3" s="15">
        <v>120.0</v>
      </c>
      <c r="H3" s="15">
        <v>160.0</v>
      </c>
      <c r="I3" s="15">
        <v>200.0</v>
      </c>
      <c r="J3" s="15">
        <v>250.0</v>
      </c>
      <c r="K3" s="15">
        <v>300.0</v>
      </c>
      <c r="L3" s="15">
        <v>350.0</v>
      </c>
      <c r="M3" s="15">
        <v>18.0</v>
      </c>
      <c r="N3" s="15">
        <v>100.0</v>
      </c>
      <c r="O3" s="15" t="b">
        <v>1</v>
      </c>
      <c r="P3" s="15" t="s">
        <v>65</v>
      </c>
      <c r="Q3" s="13"/>
      <c r="R3" s="13"/>
      <c r="S3" s="13"/>
      <c r="T3" s="13"/>
      <c r="U3" s="13"/>
      <c r="V3" s="13"/>
      <c r="W3" s="13"/>
      <c r="X3" s="13"/>
      <c r="Y3" s="12"/>
      <c r="Z3" s="12"/>
      <c r="AA3" s="12"/>
    </row>
    <row r="4">
      <c r="A4" s="13"/>
      <c r="B4" s="15" t="s">
        <v>74</v>
      </c>
      <c r="C4" s="15" t="s">
        <v>75</v>
      </c>
      <c r="D4" s="15" t="s">
        <v>77</v>
      </c>
      <c r="E4" s="15" t="s">
        <v>78</v>
      </c>
      <c r="F4" s="15" t="s">
        <v>62</v>
      </c>
      <c r="G4" s="15">
        <v>60.0</v>
      </c>
      <c r="H4" s="15">
        <v>90.0</v>
      </c>
      <c r="I4" s="15">
        <v>120.0</v>
      </c>
      <c r="J4" s="15">
        <v>150.0</v>
      </c>
      <c r="K4" s="15">
        <v>180.0</v>
      </c>
      <c r="L4" s="15">
        <v>220.0</v>
      </c>
      <c r="M4" s="15">
        <v>18.0</v>
      </c>
      <c r="N4" s="15">
        <v>200.0</v>
      </c>
      <c r="O4" s="15" t="b">
        <v>1</v>
      </c>
      <c r="P4" s="15" t="s">
        <v>65</v>
      </c>
      <c r="Q4" s="13"/>
      <c r="R4" s="13"/>
      <c r="S4" s="13"/>
      <c r="T4" s="13"/>
      <c r="U4" s="13"/>
      <c r="V4" s="13"/>
      <c r="W4" s="13"/>
      <c r="X4" s="13"/>
      <c r="Y4" s="12"/>
      <c r="Z4" s="12"/>
      <c r="AA4" s="12"/>
    </row>
    <row r="5">
      <c r="A5" s="13"/>
      <c r="B5" s="15" t="s">
        <v>84</v>
      </c>
      <c r="C5" s="15" t="s">
        <v>85</v>
      </c>
      <c r="D5" s="15" t="s">
        <v>86</v>
      </c>
      <c r="E5" s="15" t="s">
        <v>73</v>
      </c>
      <c r="F5" s="15" t="s">
        <v>62</v>
      </c>
      <c r="G5" s="15">
        <v>150.0</v>
      </c>
      <c r="H5" s="15">
        <v>200.0</v>
      </c>
      <c r="I5" s="15">
        <v>260.0</v>
      </c>
      <c r="J5" s="15">
        <v>320.0</v>
      </c>
      <c r="K5" s="15">
        <v>380.0</v>
      </c>
      <c r="L5" s="15">
        <v>450.0</v>
      </c>
      <c r="M5" s="15">
        <v>18.0</v>
      </c>
      <c r="N5" s="15">
        <v>80.0</v>
      </c>
      <c r="O5" s="15" t="b">
        <v>1</v>
      </c>
      <c r="P5" s="15" t="s">
        <v>65</v>
      </c>
      <c r="Q5" s="13"/>
      <c r="R5" s="13"/>
      <c r="S5" s="13"/>
      <c r="T5" s="13"/>
      <c r="U5" s="13"/>
      <c r="V5" s="13"/>
      <c r="W5" s="13"/>
      <c r="X5" s="13"/>
      <c r="Y5" s="12"/>
      <c r="Z5" s="12"/>
      <c r="AA5" s="12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5" t="b">
        <v>1</v>
      </c>
      <c r="P6" s="15" t="s">
        <v>93</v>
      </c>
      <c r="Q6" s="15" t="s">
        <v>94</v>
      </c>
      <c r="R6" s="15" t="s">
        <v>95</v>
      </c>
      <c r="S6" s="15" t="s">
        <v>97</v>
      </c>
      <c r="T6" s="15" t="s">
        <v>80</v>
      </c>
      <c r="U6" s="15" t="s">
        <v>76</v>
      </c>
      <c r="V6" s="15" t="s">
        <v>79</v>
      </c>
      <c r="W6" s="13"/>
      <c r="X6" s="15" t="s">
        <v>93</v>
      </c>
      <c r="Y6" s="12"/>
      <c r="Z6" s="12"/>
      <c r="AA6" s="12"/>
    </row>
    <row r="7">
      <c r="A7" s="13"/>
      <c r="B7" s="15" t="s">
        <v>104</v>
      </c>
      <c r="C7" s="15" t="s">
        <v>106</v>
      </c>
      <c r="D7" s="15" t="s">
        <v>107</v>
      </c>
      <c r="E7" s="15" t="s">
        <v>108</v>
      </c>
      <c r="F7" s="15" t="s">
        <v>62</v>
      </c>
      <c r="G7" s="15">
        <v>500.0</v>
      </c>
      <c r="H7" s="15">
        <v>650.0</v>
      </c>
      <c r="I7" s="15">
        <v>800.0</v>
      </c>
      <c r="J7" s="15">
        <v>900.0</v>
      </c>
      <c r="K7" s="15">
        <v>1000.0</v>
      </c>
      <c r="L7" s="15">
        <v>1200.0</v>
      </c>
      <c r="M7" s="15">
        <v>18.0</v>
      </c>
      <c r="N7" s="15">
        <v>60.0</v>
      </c>
      <c r="O7" s="15" t="b">
        <v>1</v>
      </c>
      <c r="P7" s="15" t="s">
        <v>109</v>
      </c>
      <c r="Q7" s="13"/>
      <c r="R7" s="13"/>
      <c r="S7" s="13"/>
      <c r="T7" s="13"/>
      <c r="U7" s="13"/>
      <c r="V7" s="13"/>
      <c r="W7" s="13"/>
      <c r="X7" s="13"/>
      <c r="Y7" s="12"/>
      <c r="Z7" s="12"/>
      <c r="AA7" s="12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9.0"/>
    <col customWidth="1" min="3" max="3" width="15.88"/>
    <col customWidth="1" min="4" max="4" width="14.88"/>
    <col customWidth="1" min="5" max="5" width="18.88"/>
    <col customWidth="1" min="6" max="6" width="12.25"/>
    <col customWidth="1" min="7" max="7" width="10.25"/>
    <col customWidth="1" min="8" max="8" width="23.75"/>
    <col customWidth="1" min="9" max="9" width="10.88"/>
    <col customWidth="1" min="10" max="10" width="5.5"/>
    <col customWidth="1" min="11" max="12" width="21.25"/>
    <col customWidth="1" min="13" max="13" width="16.5"/>
    <col customWidth="1" min="14" max="14" width="17.5"/>
    <col customWidth="1" min="15" max="15" width="12.25"/>
    <col customWidth="1" min="16" max="16" width="15.0"/>
  </cols>
  <sheetData>
    <row r="1">
      <c r="A1" s="10" t="s">
        <v>28</v>
      </c>
      <c r="B1" s="10" t="s">
        <v>49</v>
      </c>
      <c r="C1" s="10" t="s">
        <v>50</v>
      </c>
      <c r="D1" s="10" t="s">
        <v>52</v>
      </c>
      <c r="E1" s="10" t="s">
        <v>54</v>
      </c>
      <c r="F1" s="10" t="s">
        <v>55</v>
      </c>
      <c r="G1" s="10" t="s">
        <v>56</v>
      </c>
      <c r="H1" s="10" t="s">
        <v>47</v>
      </c>
      <c r="I1" s="10" t="s">
        <v>57</v>
      </c>
      <c r="J1" s="10" t="s">
        <v>43</v>
      </c>
      <c r="K1" s="10" t="s">
        <v>53</v>
      </c>
      <c r="L1" s="10" t="s">
        <v>44</v>
      </c>
      <c r="M1" s="10" t="s">
        <v>45</v>
      </c>
      <c r="N1" s="10" t="s">
        <v>46</v>
      </c>
      <c r="O1" s="10" t="s">
        <v>48</v>
      </c>
      <c r="P1" s="10" t="s">
        <v>51</v>
      </c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/>
      <c r="B2" s="15" t="s">
        <v>63</v>
      </c>
      <c r="C2" s="15" t="s">
        <v>64</v>
      </c>
      <c r="D2" s="15" t="s">
        <v>66</v>
      </c>
      <c r="E2" s="13"/>
      <c r="F2" s="15" t="s">
        <v>67</v>
      </c>
      <c r="G2" s="13"/>
      <c r="H2" s="15" t="s">
        <v>68</v>
      </c>
      <c r="I2" s="15" t="s">
        <v>69</v>
      </c>
      <c r="J2" s="15" t="b">
        <v>1</v>
      </c>
      <c r="K2" s="15" t="s">
        <v>65</v>
      </c>
      <c r="L2" s="15" t="s">
        <v>65</v>
      </c>
      <c r="M2" s="13"/>
      <c r="N2" s="13"/>
      <c r="O2" s="13"/>
      <c r="P2" s="13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5" t="s">
        <v>76</v>
      </c>
      <c r="C3" s="15" t="s">
        <v>79</v>
      </c>
      <c r="D3" s="15" t="s">
        <v>80</v>
      </c>
      <c r="E3" s="15" t="s">
        <v>63</v>
      </c>
      <c r="F3" s="15" t="s">
        <v>81</v>
      </c>
      <c r="G3" s="13"/>
      <c r="H3" s="15" t="s">
        <v>82</v>
      </c>
      <c r="I3" s="15" t="s">
        <v>83</v>
      </c>
      <c r="J3" s="15" t="b">
        <v>1</v>
      </c>
      <c r="K3" s="15" t="s">
        <v>65</v>
      </c>
      <c r="L3" s="15" t="s">
        <v>65</v>
      </c>
      <c r="M3" s="13"/>
      <c r="N3" s="13"/>
      <c r="O3" s="13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5" t="s">
        <v>87</v>
      </c>
      <c r="C4" s="15" t="s">
        <v>88</v>
      </c>
      <c r="D4" s="15" t="s">
        <v>89</v>
      </c>
      <c r="E4" s="15" t="s">
        <v>76</v>
      </c>
      <c r="F4" s="15" t="s">
        <v>90</v>
      </c>
      <c r="G4" s="13"/>
      <c r="H4" s="15" t="s">
        <v>91</v>
      </c>
      <c r="I4" s="15" t="s">
        <v>92</v>
      </c>
      <c r="J4" s="15" t="b">
        <v>1</v>
      </c>
      <c r="K4" s="15" t="s">
        <v>65</v>
      </c>
      <c r="L4" s="15" t="s">
        <v>65</v>
      </c>
      <c r="M4" s="13"/>
      <c r="N4" s="13"/>
      <c r="O4" s="13"/>
      <c r="P4" s="13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5" t="s">
        <v>96</v>
      </c>
      <c r="C5" s="15" t="s">
        <v>99</v>
      </c>
      <c r="D5" s="15" t="s">
        <v>100</v>
      </c>
      <c r="E5" s="15" t="s">
        <v>87</v>
      </c>
      <c r="F5" s="15" t="s">
        <v>101</v>
      </c>
      <c r="G5" s="13"/>
      <c r="H5" s="15" t="s">
        <v>103</v>
      </c>
      <c r="I5" s="15" t="s">
        <v>105</v>
      </c>
      <c r="J5" s="15" t="b">
        <v>1</v>
      </c>
      <c r="K5" s="15" t="s">
        <v>65</v>
      </c>
      <c r="L5" s="15" t="s">
        <v>65</v>
      </c>
      <c r="M5" s="13"/>
      <c r="N5" s="13"/>
      <c r="O5" s="13"/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5" t="s">
        <v>76</v>
      </c>
      <c r="C6" s="15" t="s">
        <v>79</v>
      </c>
      <c r="D6" s="13"/>
      <c r="E6" s="13"/>
      <c r="F6" s="13"/>
      <c r="G6" s="13"/>
      <c r="H6" s="15" t="s">
        <v>97</v>
      </c>
      <c r="I6" s="13"/>
      <c r="J6" s="15" t="b">
        <v>1</v>
      </c>
      <c r="K6" s="15" t="s">
        <v>93</v>
      </c>
      <c r="L6" s="15" t="s">
        <v>93</v>
      </c>
      <c r="M6" s="15" t="s">
        <v>94</v>
      </c>
      <c r="N6" s="15" t="s">
        <v>95</v>
      </c>
      <c r="O6" s="15" t="s">
        <v>80</v>
      </c>
      <c r="P6" s="13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/>
      <c r="B7" s="15" t="s">
        <v>110</v>
      </c>
      <c r="C7" s="15" t="s">
        <v>111</v>
      </c>
      <c r="D7" s="15" t="s">
        <v>80</v>
      </c>
      <c r="E7" s="15" t="s">
        <v>63</v>
      </c>
      <c r="F7" s="15" t="s">
        <v>112</v>
      </c>
      <c r="G7" s="15">
        <v>9.999999999E9</v>
      </c>
      <c r="H7" s="15" t="s">
        <v>113</v>
      </c>
      <c r="I7" s="15" t="s">
        <v>114</v>
      </c>
      <c r="J7" s="15" t="b">
        <v>1</v>
      </c>
      <c r="K7" s="15" t="s">
        <v>115</v>
      </c>
      <c r="L7" s="15" t="s">
        <v>115</v>
      </c>
      <c r="M7" s="13"/>
      <c r="N7" s="13"/>
      <c r="O7" s="13"/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9.25"/>
    <col customWidth="1" min="3" max="3" width="13.0"/>
    <col customWidth="1" min="4" max="4" width="15.88"/>
    <col customWidth="1" min="5" max="5" width="15.0"/>
    <col customWidth="1" min="6" max="6" width="9.38"/>
    <col customWidth="1" min="7" max="7" width="6.63"/>
    <col customWidth="1" min="8" max="8" width="12.13"/>
    <col customWidth="1" min="9" max="9" width="7.25"/>
    <col customWidth="1" min="10" max="10" width="11.63"/>
    <col customWidth="1" min="11" max="11" width="11.25"/>
    <col customWidth="1" min="12" max="12" width="8.63"/>
    <col customWidth="1" min="13" max="13" width="12.88"/>
    <col customWidth="1" min="14" max="14" width="21.25"/>
  </cols>
  <sheetData>
    <row r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5" t="s">
        <v>116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3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3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75"/>
    <col customWidth="1" min="3" max="3" width="20.13"/>
    <col customWidth="1" min="4" max="4" width="21.25"/>
    <col customWidth="1" min="5" max="5" width="26.38"/>
    <col customWidth="1" min="6" max="6" width="17.88"/>
    <col customWidth="1" min="7" max="7" width="15.25"/>
    <col customWidth="1" min="8" max="8" width="14.88"/>
    <col customWidth="1" min="9" max="9" width="15.75"/>
    <col customWidth="1" min="10" max="10" width="13.13"/>
    <col customWidth="1" min="11" max="11" width="12.25"/>
    <col customWidth="1" min="12" max="12" width="14.13"/>
    <col customWidth="1" min="13" max="13" width="9.38"/>
    <col customWidth="1" min="14" max="14" width="6.63"/>
    <col customWidth="1" min="15" max="15" width="12.13"/>
    <col customWidth="1" min="16" max="16" width="7.25"/>
    <col customWidth="1" min="17" max="17" width="4.0"/>
    <col customWidth="1" min="18" max="18" width="8.63"/>
    <col customWidth="1" min="19" max="19" width="3.63"/>
    <col customWidth="1" min="20" max="20" width="7.13"/>
    <col customWidth="1" min="21" max="21" width="10.25"/>
    <col customWidth="1" min="22" max="22" width="5.63"/>
    <col customWidth="1" min="23" max="23" width="12.25"/>
    <col customWidth="1" min="24" max="24" width="8.13"/>
    <col customWidth="1" min="25" max="25" width="19.13"/>
    <col customWidth="1" min="26" max="26" width="11.38"/>
    <col customWidth="1" min="27" max="61" width="21.25"/>
  </cols>
  <sheetData>
    <row r="1">
      <c r="A1" s="17" t="s">
        <v>102</v>
      </c>
      <c r="B1" s="18" t="s">
        <v>49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 t="s">
        <v>64</v>
      </c>
      <c r="AB1" s="18" t="s">
        <v>66</v>
      </c>
      <c r="AC1" s="18" t="s">
        <v>70</v>
      </c>
      <c r="AD1" s="18" t="s">
        <v>71</v>
      </c>
      <c r="AE1" s="18" t="s">
        <v>72</v>
      </c>
      <c r="AF1" s="18">
        <v>1000.0</v>
      </c>
      <c r="AG1" s="18">
        <v>0.0</v>
      </c>
      <c r="AH1" s="18">
        <v>1000.0</v>
      </c>
      <c r="AI1" s="18">
        <v>200.0</v>
      </c>
      <c r="AJ1" s="18">
        <v>200000.0</v>
      </c>
      <c r="AK1" s="18" t="s">
        <v>117</v>
      </c>
      <c r="AL1" s="18" t="s">
        <v>63</v>
      </c>
      <c r="AM1" s="18" t="s">
        <v>64</v>
      </c>
      <c r="AN1" s="18" t="s">
        <v>66</v>
      </c>
      <c r="AO1" s="18" t="s">
        <v>74</v>
      </c>
      <c r="AP1" s="18" t="s">
        <v>75</v>
      </c>
      <c r="AQ1" s="18" t="s">
        <v>77</v>
      </c>
      <c r="AR1" s="18">
        <v>1000.0</v>
      </c>
      <c r="AS1" s="18">
        <v>0.0</v>
      </c>
      <c r="AT1" s="18">
        <v>1000.0</v>
      </c>
      <c r="AU1" s="18">
        <v>120.0</v>
      </c>
      <c r="AV1" s="18">
        <v>120000.0</v>
      </c>
      <c r="AW1" s="18" t="s">
        <v>118</v>
      </c>
      <c r="AX1" s="18" t="s">
        <v>63</v>
      </c>
      <c r="AY1" s="18" t="s">
        <v>64</v>
      </c>
      <c r="AZ1" s="18" t="s">
        <v>66</v>
      </c>
      <c r="BA1" s="18" t="s">
        <v>84</v>
      </c>
      <c r="BB1" s="18" t="s">
        <v>85</v>
      </c>
      <c r="BC1" s="18" t="s">
        <v>86</v>
      </c>
      <c r="BD1" s="18">
        <v>1000.0</v>
      </c>
      <c r="BE1" s="18">
        <v>0.0</v>
      </c>
      <c r="BF1" s="18">
        <v>1000.0</v>
      </c>
      <c r="BG1" s="18">
        <v>260.0</v>
      </c>
      <c r="BH1" s="18">
        <v>260000.0</v>
      </c>
      <c r="BI1" s="21">
        <v>46276.0</v>
      </c>
    </row>
    <row r="2">
      <c r="A2" s="15" t="s">
        <v>119</v>
      </c>
      <c r="B2" s="15" t="s">
        <v>63</v>
      </c>
      <c r="C2" s="15"/>
      <c r="D2" s="15"/>
      <c r="E2" s="15" t="s">
        <v>58</v>
      </c>
      <c r="F2" s="15"/>
      <c r="G2" s="15"/>
      <c r="H2" s="15">
        <v>1000.0</v>
      </c>
      <c r="I2" s="15">
        <v>0.0</v>
      </c>
      <c r="J2" s="15">
        <v>1000.0</v>
      </c>
      <c r="K2" s="15">
        <v>600.0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22"/>
      <c r="X2" s="15"/>
      <c r="Y2" s="15"/>
      <c r="Z2" s="15"/>
      <c r="AA2" s="15" t="s">
        <v>120</v>
      </c>
      <c r="AB2" s="15" t="s">
        <v>120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>
      <c r="A3" s="13"/>
      <c r="B3" s="15" t="s">
        <v>63</v>
      </c>
      <c r="C3" s="15"/>
      <c r="D3" s="15"/>
      <c r="E3" s="15" t="s">
        <v>70</v>
      </c>
      <c r="F3" s="15"/>
      <c r="G3" s="15"/>
      <c r="H3" s="15">
        <v>1000.0</v>
      </c>
      <c r="I3" s="15">
        <v>0.0</v>
      </c>
      <c r="J3" s="15">
        <v>1000.0</v>
      </c>
      <c r="K3" s="15">
        <v>200.0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22"/>
      <c r="X3" s="15"/>
      <c r="Y3" s="15"/>
      <c r="Z3" s="15"/>
      <c r="AA3" s="15" t="s">
        <v>121</v>
      </c>
      <c r="AB3" s="15" t="s">
        <v>121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</row>
    <row r="4">
      <c r="A4" s="13"/>
      <c r="B4" s="15" t="s">
        <v>63</v>
      </c>
      <c r="C4" s="15"/>
      <c r="D4" s="15"/>
      <c r="E4" s="15" t="s">
        <v>74</v>
      </c>
      <c r="F4" s="15"/>
      <c r="G4" s="15"/>
      <c r="H4" s="15">
        <v>1000.0</v>
      </c>
      <c r="I4" s="15">
        <v>0.0</v>
      </c>
      <c r="J4" s="15">
        <v>1000.0</v>
      </c>
      <c r="K4" s="15">
        <v>120.0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22"/>
      <c r="X4" s="15"/>
      <c r="Y4" s="15"/>
      <c r="Z4" s="15"/>
      <c r="AA4" s="15" t="s">
        <v>122</v>
      </c>
      <c r="AB4" s="15" t="s">
        <v>122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>
      <c r="A5" s="13"/>
      <c r="B5" s="15" t="s">
        <v>63</v>
      </c>
      <c r="C5" s="15"/>
      <c r="D5" s="15"/>
      <c r="E5" s="15" t="s">
        <v>84</v>
      </c>
      <c r="F5" s="15"/>
      <c r="G5" s="15"/>
      <c r="H5" s="15">
        <v>1000.0</v>
      </c>
      <c r="I5" s="15">
        <v>0.0</v>
      </c>
      <c r="J5" s="15">
        <v>1000.0</v>
      </c>
      <c r="K5" s="15">
        <v>260.0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22"/>
      <c r="X5" s="15"/>
      <c r="Y5" s="15"/>
      <c r="Z5" s="15"/>
      <c r="AA5" s="15" t="s">
        <v>123</v>
      </c>
      <c r="AB5" s="15" t="s">
        <v>123</v>
      </c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>
      <c r="A6" s="13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3"/>
      <c r="X6" s="15"/>
      <c r="Y6" s="15"/>
      <c r="Z6" s="15"/>
      <c r="AA6" s="15" t="s">
        <v>124</v>
      </c>
      <c r="AB6" s="15" t="s">
        <v>124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3"/>
      <c r="X7" s="15"/>
      <c r="Y7" s="15"/>
      <c r="Z7" s="15"/>
      <c r="AA7" s="15" t="s">
        <v>125</v>
      </c>
      <c r="AB7" s="15" t="s">
        <v>125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2"/>
      <c r="X8" s="15"/>
      <c r="Y8" s="13"/>
      <c r="Z8" s="15"/>
      <c r="AA8" s="15" t="s">
        <v>126</v>
      </c>
      <c r="AB8" s="15" t="s">
        <v>126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22"/>
      <c r="X9" s="15"/>
      <c r="Y9" s="13"/>
      <c r="Z9" s="15"/>
      <c r="AA9" s="15" t="s">
        <v>127</v>
      </c>
      <c r="AB9" s="15" t="s">
        <v>127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22"/>
      <c r="X10" s="15"/>
      <c r="Y10" s="15"/>
      <c r="Z10" s="15"/>
      <c r="AA10" s="15" t="s">
        <v>128</v>
      </c>
      <c r="AB10" s="15" t="s">
        <v>128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13"/>
    <col customWidth="1" min="3" max="3" width="20.0"/>
    <col customWidth="1" min="4" max="4" width="20.13"/>
    <col customWidth="1" min="5" max="5" width="21.25"/>
    <col customWidth="1" min="6" max="6" width="26.38"/>
    <col customWidth="1" min="7" max="7" width="14.13"/>
    <col customWidth="1" min="8" max="8" width="17.88"/>
    <col customWidth="1" min="9" max="9" width="15.25"/>
    <col customWidth="1" min="10" max="10" width="14.88"/>
    <col customWidth="1" min="11" max="11" width="15.75"/>
    <col customWidth="1" min="12" max="12" width="13.13"/>
    <col customWidth="1" min="13" max="13" width="12.25"/>
    <col customWidth="1" min="14" max="14" width="9.38"/>
    <col customWidth="1" min="15" max="15" width="6.63"/>
    <col customWidth="1" min="16" max="16" width="12.13"/>
    <col customWidth="1" min="17" max="17" width="7.25"/>
    <col customWidth="1" min="18" max="18" width="8.63"/>
    <col customWidth="1" min="19" max="19" width="3.63"/>
    <col customWidth="1" min="20" max="20" width="5.63"/>
    <col customWidth="1" min="21" max="21" width="15.25"/>
    <col customWidth="1" min="22" max="22" width="21.25"/>
  </cols>
  <sheetData>
    <row r="1">
      <c r="A1" s="23" t="s">
        <v>28</v>
      </c>
      <c r="B1" s="23" t="s">
        <v>129</v>
      </c>
      <c r="C1" s="23" t="s">
        <v>130</v>
      </c>
      <c r="D1" s="23" t="s">
        <v>131</v>
      </c>
      <c r="E1" s="23" t="s">
        <v>0</v>
      </c>
      <c r="F1" s="23" t="s">
        <v>132</v>
      </c>
      <c r="G1" s="23" t="s">
        <v>133</v>
      </c>
      <c r="H1" s="23" t="s">
        <v>134</v>
      </c>
      <c r="I1" s="23" t="s">
        <v>135</v>
      </c>
      <c r="J1" s="23" t="s">
        <v>136</v>
      </c>
      <c r="K1" s="23" t="s">
        <v>137</v>
      </c>
      <c r="L1" s="23" t="s">
        <v>138</v>
      </c>
      <c r="M1" s="23" t="s">
        <v>139</v>
      </c>
      <c r="N1" s="23" t="s">
        <v>29</v>
      </c>
      <c r="O1" s="23" t="s">
        <v>30</v>
      </c>
      <c r="P1" s="23" t="s">
        <v>31</v>
      </c>
      <c r="Q1" s="23" t="s">
        <v>6</v>
      </c>
      <c r="R1" s="23" t="s">
        <v>140</v>
      </c>
      <c r="S1" s="23" t="s">
        <v>41</v>
      </c>
      <c r="T1" s="23" t="s">
        <v>141</v>
      </c>
      <c r="U1" s="23" t="s">
        <v>142</v>
      </c>
      <c r="V1" s="23" t="s">
        <v>53</v>
      </c>
      <c r="W1" s="24"/>
      <c r="X1" s="24"/>
      <c r="Y1" s="24"/>
      <c r="Z1" s="24"/>
    </row>
    <row r="2">
      <c r="A2" s="13"/>
      <c r="B2" s="15" t="s">
        <v>143</v>
      </c>
      <c r="C2" s="15" t="s">
        <v>144</v>
      </c>
      <c r="D2" s="15" t="s">
        <v>145</v>
      </c>
      <c r="E2" s="15" t="s">
        <v>120</v>
      </c>
      <c r="F2" s="15" t="s">
        <v>146</v>
      </c>
      <c r="G2" s="15" t="s">
        <v>17</v>
      </c>
      <c r="H2" s="15" t="s">
        <v>63</v>
      </c>
      <c r="I2" s="15" t="s">
        <v>64</v>
      </c>
      <c r="J2" s="15" t="s">
        <v>66</v>
      </c>
      <c r="K2" s="15" t="s">
        <v>76</v>
      </c>
      <c r="L2" s="15" t="s">
        <v>79</v>
      </c>
      <c r="M2" s="15" t="s">
        <v>80</v>
      </c>
      <c r="N2" s="15" t="s">
        <v>58</v>
      </c>
      <c r="O2" s="15" t="s">
        <v>59</v>
      </c>
      <c r="P2" s="15" t="s">
        <v>60</v>
      </c>
      <c r="Q2" s="15">
        <v>100.0</v>
      </c>
      <c r="R2" s="15">
        <v>600.0</v>
      </c>
      <c r="S2" s="15">
        <v>18.0</v>
      </c>
      <c r="T2" s="15">
        <v>70800.0</v>
      </c>
      <c r="U2" s="15" t="s">
        <v>147</v>
      </c>
      <c r="V2" s="15" t="s">
        <v>120</v>
      </c>
      <c r="W2" s="12"/>
      <c r="X2" s="12"/>
      <c r="Y2" s="12"/>
      <c r="Z2" s="12"/>
    </row>
    <row r="3">
      <c r="A3" s="13"/>
      <c r="B3" s="15" t="s">
        <v>148</v>
      </c>
      <c r="C3" s="15" t="s">
        <v>149</v>
      </c>
      <c r="D3" s="15" t="s">
        <v>150</v>
      </c>
      <c r="E3" s="15" t="s">
        <v>121</v>
      </c>
      <c r="F3" s="15" t="s">
        <v>146</v>
      </c>
      <c r="G3" s="15" t="s">
        <v>17</v>
      </c>
      <c r="H3" s="15" t="s">
        <v>76</v>
      </c>
      <c r="I3" s="15" t="s">
        <v>79</v>
      </c>
      <c r="J3" s="15" t="s">
        <v>80</v>
      </c>
      <c r="K3" s="15" t="s">
        <v>87</v>
      </c>
      <c r="L3" s="15" t="s">
        <v>88</v>
      </c>
      <c r="M3" s="15" t="s">
        <v>89</v>
      </c>
      <c r="N3" s="15" t="s">
        <v>70</v>
      </c>
      <c r="O3" s="15" t="s">
        <v>71</v>
      </c>
      <c r="P3" s="15" t="s">
        <v>72</v>
      </c>
      <c r="Q3" s="15">
        <v>50.0</v>
      </c>
      <c r="R3" s="15">
        <v>250.0</v>
      </c>
      <c r="S3" s="15">
        <v>18.0</v>
      </c>
      <c r="T3" s="15">
        <v>14750.0</v>
      </c>
      <c r="U3" s="15" t="s">
        <v>147</v>
      </c>
      <c r="V3" s="15" t="s">
        <v>121</v>
      </c>
      <c r="W3" s="12"/>
      <c r="X3" s="12"/>
      <c r="Y3" s="12"/>
      <c r="Z3" s="12"/>
    </row>
    <row r="4">
      <c r="A4" s="13"/>
      <c r="B4" s="15" t="s">
        <v>151</v>
      </c>
      <c r="C4" s="15" t="s">
        <v>152</v>
      </c>
      <c r="D4" s="15" t="s">
        <v>153</v>
      </c>
      <c r="E4" s="15" t="s">
        <v>122</v>
      </c>
      <c r="F4" s="15" t="s">
        <v>146</v>
      </c>
      <c r="G4" s="15" t="s">
        <v>17</v>
      </c>
      <c r="H4" s="15" t="s">
        <v>87</v>
      </c>
      <c r="I4" s="15" t="s">
        <v>88</v>
      </c>
      <c r="J4" s="15" t="s">
        <v>89</v>
      </c>
      <c r="K4" s="15" t="s">
        <v>96</v>
      </c>
      <c r="L4" s="15" t="s">
        <v>99</v>
      </c>
      <c r="M4" s="15" t="s">
        <v>100</v>
      </c>
      <c r="N4" s="15" t="s">
        <v>74</v>
      </c>
      <c r="O4" s="15" t="s">
        <v>75</v>
      </c>
      <c r="P4" s="15" t="s">
        <v>77</v>
      </c>
      <c r="Q4" s="15">
        <v>40.0</v>
      </c>
      <c r="R4" s="15">
        <v>180.0</v>
      </c>
      <c r="S4" s="15">
        <v>18.0</v>
      </c>
      <c r="T4" s="15">
        <v>8496.0</v>
      </c>
      <c r="U4" s="15" t="s">
        <v>147</v>
      </c>
      <c r="V4" s="15" t="s">
        <v>122</v>
      </c>
      <c r="W4" s="12"/>
      <c r="X4" s="12"/>
      <c r="Y4" s="12"/>
      <c r="Z4" s="12"/>
    </row>
    <row r="5">
      <c r="A5" s="13"/>
      <c r="B5" s="15" t="s">
        <v>154</v>
      </c>
      <c r="C5" s="15" t="s">
        <v>155</v>
      </c>
      <c r="D5" s="15" t="s">
        <v>156</v>
      </c>
      <c r="E5" s="15" t="s">
        <v>123</v>
      </c>
      <c r="F5" s="15" t="s">
        <v>146</v>
      </c>
      <c r="G5" s="15" t="s">
        <v>17</v>
      </c>
      <c r="H5" s="15" t="s">
        <v>63</v>
      </c>
      <c r="I5" s="15" t="s">
        <v>64</v>
      </c>
      <c r="J5" s="15" t="s">
        <v>66</v>
      </c>
      <c r="K5" s="15" t="s">
        <v>76</v>
      </c>
      <c r="L5" s="15" t="s">
        <v>79</v>
      </c>
      <c r="M5" s="15" t="s">
        <v>80</v>
      </c>
      <c r="N5" s="15" t="s">
        <v>58</v>
      </c>
      <c r="O5" s="15" t="s">
        <v>59</v>
      </c>
      <c r="P5" s="15" t="s">
        <v>60</v>
      </c>
      <c r="Q5" s="15">
        <v>5.0</v>
      </c>
      <c r="R5" s="15">
        <v>600.0</v>
      </c>
      <c r="S5" s="15">
        <v>18.0</v>
      </c>
      <c r="T5" s="15">
        <v>3540.0</v>
      </c>
      <c r="U5" s="15" t="s">
        <v>147</v>
      </c>
      <c r="V5" s="15" t="s">
        <v>123</v>
      </c>
      <c r="W5" s="12"/>
      <c r="X5" s="12"/>
      <c r="Y5" s="12"/>
      <c r="Z5" s="12"/>
    </row>
    <row r="6">
      <c r="A6" s="13"/>
      <c r="B6" s="15" t="s">
        <v>157</v>
      </c>
      <c r="C6" s="15" t="s">
        <v>158</v>
      </c>
      <c r="D6" s="15" t="s">
        <v>159</v>
      </c>
      <c r="E6" s="15" t="s">
        <v>124</v>
      </c>
      <c r="F6" s="15" t="s">
        <v>146</v>
      </c>
      <c r="G6" s="15" t="s">
        <v>17</v>
      </c>
      <c r="H6" s="15" t="s">
        <v>63</v>
      </c>
      <c r="I6" s="15" t="s">
        <v>64</v>
      </c>
      <c r="J6" s="15" t="s">
        <v>66</v>
      </c>
      <c r="K6" s="15" t="s">
        <v>76</v>
      </c>
      <c r="L6" s="15" t="s">
        <v>79</v>
      </c>
      <c r="M6" s="15" t="s">
        <v>80</v>
      </c>
      <c r="N6" s="15" t="s">
        <v>58</v>
      </c>
      <c r="O6" s="15" t="s">
        <v>59</v>
      </c>
      <c r="P6" s="15" t="s">
        <v>60</v>
      </c>
      <c r="Q6" s="15">
        <v>1.0</v>
      </c>
      <c r="R6" s="15">
        <v>600.0</v>
      </c>
      <c r="S6" s="15">
        <v>18.0</v>
      </c>
      <c r="T6" s="15">
        <v>708.0</v>
      </c>
      <c r="U6" s="15" t="s">
        <v>147</v>
      </c>
      <c r="V6" s="15" t="s">
        <v>124</v>
      </c>
      <c r="W6" s="12"/>
      <c r="X6" s="12"/>
      <c r="Y6" s="12"/>
      <c r="Z6" s="12"/>
    </row>
    <row r="7">
      <c r="A7" s="13"/>
      <c r="B7" s="15" t="s">
        <v>160</v>
      </c>
      <c r="C7" s="15" t="s">
        <v>161</v>
      </c>
      <c r="D7" s="15" t="s">
        <v>162</v>
      </c>
      <c r="E7" s="15" t="s">
        <v>125</v>
      </c>
      <c r="F7" s="15" t="s">
        <v>146</v>
      </c>
      <c r="G7" s="15" t="s">
        <v>17</v>
      </c>
      <c r="H7" s="15" t="s">
        <v>63</v>
      </c>
      <c r="I7" s="15" t="s">
        <v>64</v>
      </c>
      <c r="J7" s="15" t="s">
        <v>66</v>
      </c>
      <c r="K7" s="15" t="s">
        <v>76</v>
      </c>
      <c r="L7" s="15" t="s">
        <v>79</v>
      </c>
      <c r="M7" s="15" t="s">
        <v>80</v>
      </c>
      <c r="N7" s="15" t="s">
        <v>58</v>
      </c>
      <c r="O7" s="15" t="s">
        <v>59</v>
      </c>
      <c r="P7" s="15" t="s">
        <v>60</v>
      </c>
      <c r="Q7" s="15">
        <v>1.0</v>
      </c>
      <c r="R7" s="15">
        <v>600.0</v>
      </c>
      <c r="S7" s="15">
        <v>18.0</v>
      </c>
      <c r="T7" s="15">
        <v>708.0</v>
      </c>
      <c r="U7" s="15" t="s">
        <v>147</v>
      </c>
      <c r="V7" s="15" t="s">
        <v>125</v>
      </c>
      <c r="W7" s="12"/>
      <c r="X7" s="12"/>
      <c r="Y7" s="12"/>
      <c r="Z7" s="12"/>
    </row>
    <row r="8">
      <c r="A8" s="13"/>
      <c r="B8" s="15" t="s">
        <v>163</v>
      </c>
      <c r="C8" s="15" t="s">
        <v>164</v>
      </c>
      <c r="D8" s="15" t="s">
        <v>165</v>
      </c>
      <c r="E8" s="15" t="s">
        <v>126</v>
      </c>
      <c r="F8" s="15" t="s">
        <v>146</v>
      </c>
      <c r="G8" s="15" t="s">
        <v>17</v>
      </c>
      <c r="H8" s="15" t="s">
        <v>63</v>
      </c>
      <c r="I8" s="15" t="s">
        <v>64</v>
      </c>
      <c r="J8" s="15" t="s">
        <v>66</v>
      </c>
      <c r="K8" s="15" t="s">
        <v>76</v>
      </c>
      <c r="L8" s="15" t="s">
        <v>79</v>
      </c>
      <c r="M8" s="15" t="s">
        <v>80</v>
      </c>
      <c r="N8" s="15" t="s">
        <v>70</v>
      </c>
      <c r="O8" s="15" t="s">
        <v>71</v>
      </c>
      <c r="P8" s="15" t="s">
        <v>72</v>
      </c>
      <c r="Q8" s="15">
        <v>20.0</v>
      </c>
      <c r="R8" s="15">
        <v>200.0</v>
      </c>
      <c r="S8" s="15">
        <v>18.0</v>
      </c>
      <c r="T8" s="15">
        <v>4720.0</v>
      </c>
      <c r="U8" s="15" t="s">
        <v>147</v>
      </c>
      <c r="V8" s="15" t="s">
        <v>126</v>
      </c>
      <c r="W8" s="12"/>
      <c r="X8" s="12"/>
      <c r="Y8" s="12"/>
      <c r="Z8" s="12"/>
    </row>
    <row r="9">
      <c r="A9" s="13"/>
      <c r="B9" s="15" t="s">
        <v>166</v>
      </c>
      <c r="C9" s="15" t="s">
        <v>167</v>
      </c>
      <c r="D9" s="15" t="s">
        <v>168</v>
      </c>
      <c r="E9" s="15" t="s">
        <v>127</v>
      </c>
      <c r="F9" s="15" t="s">
        <v>146</v>
      </c>
      <c r="G9" s="15" t="s">
        <v>17</v>
      </c>
      <c r="H9" s="15" t="s">
        <v>63</v>
      </c>
      <c r="I9" s="15" t="s">
        <v>64</v>
      </c>
      <c r="J9" s="15" t="s">
        <v>66</v>
      </c>
      <c r="K9" s="15" t="s">
        <v>76</v>
      </c>
      <c r="L9" s="15" t="s">
        <v>79</v>
      </c>
      <c r="M9" s="15" t="s">
        <v>80</v>
      </c>
      <c r="N9" s="15" t="s">
        <v>70</v>
      </c>
      <c r="O9" s="15" t="s">
        <v>71</v>
      </c>
      <c r="P9" s="15" t="s">
        <v>72</v>
      </c>
      <c r="Q9" s="15">
        <v>10.0</v>
      </c>
      <c r="R9" s="15">
        <v>200.0</v>
      </c>
      <c r="S9" s="15">
        <v>18.0</v>
      </c>
      <c r="T9" s="15">
        <v>2360.0</v>
      </c>
      <c r="U9" s="15" t="s">
        <v>147</v>
      </c>
      <c r="V9" s="15" t="s">
        <v>127</v>
      </c>
      <c r="W9" s="12"/>
      <c r="X9" s="12"/>
      <c r="Y9" s="12"/>
      <c r="Z9" s="12"/>
    </row>
    <row r="10">
      <c r="A10" s="13"/>
      <c r="B10" s="15" t="s">
        <v>169</v>
      </c>
      <c r="C10" s="15" t="s">
        <v>170</v>
      </c>
      <c r="D10" s="15" t="s">
        <v>171</v>
      </c>
      <c r="E10" s="15" t="s">
        <v>128</v>
      </c>
      <c r="F10" s="15" t="s">
        <v>146</v>
      </c>
      <c r="G10" s="15" t="s">
        <v>17</v>
      </c>
      <c r="H10" s="15" t="s">
        <v>63</v>
      </c>
      <c r="I10" s="15" t="s">
        <v>64</v>
      </c>
      <c r="J10" s="15" t="s">
        <v>66</v>
      </c>
      <c r="K10" s="15" t="s">
        <v>76</v>
      </c>
      <c r="L10" s="15" t="s">
        <v>79</v>
      </c>
      <c r="M10" s="15" t="s">
        <v>80</v>
      </c>
      <c r="N10" s="15" t="s">
        <v>74</v>
      </c>
      <c r="O10" s="15" t="s">
        <v>75</v>
      </c>
      <c r="P10" s="15" t="s">
        <v>77</v>
      </c>
      <c r="Q10" s="15">
        <v>10.0</v>
      </c>
      <c r="R10" s="15">
        <v>120.0</v>
      </c>
      <c r="S10" s="15">
        <v>18.0</v>
      </c>
      <c r="T10" s="15">
        <v>1416.0</v>
      </c>
      <c r="U10" s="15" t="s">
        <v>147</v>
      </c>
      <c r="V10" s="15" t="s">
        <v>128</v>
      </c>
      <c r="W10" s="12"/>
      <c r="X10" s="12"/>
      <c r="Y10" s="12"/>
      <c r="Z10" s="12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2"/>
      <c r="X11" s="12"/>
      <c r="Y11" s="12"/>
      <c r="Z11" s="12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2"/>
      <c r="X12" s="12"/>
      <c r="Y12" s="12"/>
      <c r="Z12" s="12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63"/>
    <col customWidth="1" min="3" max="3" width="9.38"/>
    <col customWidth="1" min="4" max="4" width="6.63"/>
    <col customWidth="1" min="5" max="5" width="12.13"/>
    <col customWidth="1" min="6" max="6" width="15.5"/>
    <col customWidth="1" min="7" max="7" width="13.38"/>
    <col customWidth="1" min="8" max="8" width="11.5"/>
    <col customWidth="1" min="9" max="9" width="11.25"/>
    <col customWidth="1" min="10" max="10" width="26.38"/>
    <col customWidth="1" min="11" max="11" width="21.25"/>
  </cols>
  <sheetData>
    <row r="1">
      <c r="A1" s="25" t="s">
        <v>28</v>
      </c>
      <c r="B1" s="25" t="s">
        <v>172</v>
      </c>
      <c r="C1" s="25" t="s">
        <v>29</v>
      </c>
      <c r="D1" s="25" t="s">
        <v>30</v>
      </c>
      <c r="E1" s="25" t="s">
        <v>173</v>
      </c>
      <c r="F1" s="25" t="s">
        <v>35</v>
      </c>
      <c r="G1" s="25" t="s">
        <v>37</v>
      </c>
      <c r="H1" s="25" t="s">
        <v>38</v>
      </c>
      <c r="I1" s="25" t="s">
        <v>39</v>
      </c>
      <c r="J1" s="25" t="s">
        <v>174</v>
      </c>
      <c r="K1" s="25" t="s">
        <v>53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3"/>
      <c r="B2" s="15" t="s">
        <v>175</v>
      </c>
      <c r="C2" s="15" t="s">
        <v>58</v>
      </c>
      <c r="D2" s="15" t="s">
        <v>59</v>
      </c>
      <c r="E2" s="22">
        <v>46266.0</v>
      </c>
      <c r="F2" s="15">
        <v>500.0</v>
      </c>
      <c r="G2" s="15">
        <v>600.0</v>
      </c>
      <c r="H2" s="15">
        <v>700.0</v>
      </c>
      <c r="I2" s="15">
        <v>800.0</v>
      </c>
      <c r="J2" s="15" t="s">
        <v>146</v>
      </c>
      <c r="K2" s="15" t="s">
        <v>176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5" t="s">
        <v>177</v>
      </c>
      <c r="C3" s="15" t="s">
        <v>70</v>
      </c>
      <c r="D3" s="15" t="s">
        <v>71</v>
      </c>
      <c r="E3" s="22">
        <v>46266.0</v>
      </c>
      <c r="F3" s="15">
        <v>160.0</v>
      </c>
      <c r="G3" s="15">
        <v>200.0</v>
      </c>
      <c r="H3" s="15">
        <v>250.0</v>
      </c>
      <c r="I3" s="15">
        <v>300.0</v>
      </c>
      <c r="J3" s="15" t="s">
        <v>146</v>
      </c>
      <c r="K3" s="15" t="s">
        <v>176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5" t="s">
        <v>178</v>
      </c>
      <c r="C4" s="15" t="s">
        <v>74</v>
      </c>
      <c r="D4" s="15" t="s">
        <v>75</v>
      </c>
      <c r="E4" s="22">
        <v>46266.0</v>
      </c>
      <c r="F4" s="15">
        <v>90.0</v>
      </c>
      <c r="G4" s="15">
        <v>120.0</v>
      </c>
      <c r="H4" s="15">
        <v>150.0</v>
      </c>
      <c r="I4" s="15">
        <v>180.0</v>
      </c>
      <c r="J4" s="15" t="s">
        <v>146</v>
      </c>
      <c r="K4" s="15" t="s">
        <v>176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5" t="s">
        <v>179</v>
      </c>
      <c r="C5" s="15" t="s">
        <v>84</v>
      </c>
      <c r="D5" s="15" t="s">
        <v>85</v>
      </c>
      <c r="E5" s="22">
        <v>46266.0</v>
      </c>
      <c r="F5" s="15">
        <v>200.0</v>
      </c>
      <c r="G5" s="15">
        <v>260.0</v>
      </c>
      <c r="H5" s="15">
        <v>320.0</v>
      </c>
      <c r="I5" s="15">
        <v>380.0</v>
      </c>
      <c r="J5" s="15" t="s">
        <v>146</v>
      </c>
      <c r="K5" s="15" t="s">
        <v>176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63"/>
    <col customWidth="1" min="3" max="3" width="17.5"/>
    <col customWidth="1" min="4" max="4" width="26.38"/>
    <col customWidth="1" min="5" max="6" width="13.0"/>
    <col customWidth="1" min="7" max="7" width="15.88"/>
    <col customWidth="1" min="8" max="8" width="15.0"/>
    <col customWidth="1" min="9" max="9" width="5.5"/>
    <col customWidth="1" min="10" max="11" width="21.25"/>
  </cols>
  <sheetData>
    <row r="1">
      <c r="A1" s="27" t="s">
        <v>28</v>
      </c>
      <c r="B1" s="27" t="s">
        <v>45</v>
      </c>
      <c r="C1" s="27" t="s">
        <v>46</v>
      </c>
      <c r="D1" s="27" t="s">
        <v>47</v>
      </c>
      <c r="E1" s="27" t="s">
        <v>48</v>
      </c>
      <c r="F1" s="27" t="s">
        <v>49</v>
      </c>
      <c r="G1" s="27" t="s">
        <v>50</v>
      </c>
      <c r="H1" s="27" t="s">
        <v>51</v>
      </c>
      <c r="I1" s="27" t="s">
        <v>43</v>
      </c>
      <c r="J1" s="27" t="s">
        <v>53</v>
      </c>
      <c r="K1" s="27" t="s">
        <v>44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3"/>
      <c r="B2" s="15" t="s">
        <v>180</v>
      </c>
      <c r="C2" s="15" t="s">
        <v>181</v>
      </c>
      <c r="D2" s="15" t="s">
        <v>82</v>
      </c>
      <c r="E2" s="15" t="s">
        <v>182</v>
      </c>
      <c r="F2" s="15" t="s">
        <v>63</v>
      </c>
      <c r="G2" s="15" t="s">
        <v>64</v>
      </c>
      <c r="H2" s="15" t="s">
        <v>66</v>
      </c>
      <c r="I2" s="15" t="b">
        <v>1</v>
      </c>
      <c r="J2" s="15" t="s">
        <v>65</v>
      </c>
      <c r="K2" s="15" t="s">
        <v>65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5" t="s">
        <v>183</v>
      </c>
      <c r="C3" s="15" t="s">
        <v>184</v>
      </c>
      <c r="D3" s="15" t="s">
        <v>146</v>
      </c>
      <c r="E3" s="15" t="s">
        <v>182</v>
      </c>
      <c r="F3" s="15" t="s">
        <v>63</v>
      </c>
      <c r="G3" s="15" t="s">
        <v>64</v>
      </c>
      <c r="H3" s="15" t="s">
        <v>66</v>
      </c>
      <c r="I3" s="15" t="b">
        <v>1</v>
      </c>
      <c r="J3" s="15" t="s">
        <v>185</v>
      </c>
      <c r="K3" s="15" t="s">
        <v>185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5" t="s">
        <v>94</v>
      </c>
      <c r="C4" s="15" t="s">
        <v>95</v>
      </c>
      <c r="D4" s="15" t="s">
        <v>97</v>
      </c>
      <c r="E4" s="15" t="s">
        <v>80</v>
      </c>
      <c r="F4" s="15" t="s">
        <v>76</v>
      </c>
      <c r="G4" s="15" t="s">
        <v>79</v>
      </c>
      <c r="H4" s="13"/>
      <c r="I4" s="15" t="b">
        <v>1</v>
      </c>
      <c r="J4" s="15" t="s">
        <v>93</v>
      </c>
      <c r="K4" s="15" t="s">
        <v>93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5" t="s">
        <v>186</v>
      </c>
      <c r="C5" s="15" t="s">
        <v>187</v>
      </c>
      <c r="D5" s="15" t="s">
        <v>188</v>
      </c>
      <c r="E5" s="15" t="s">
        <v>100</v>
      </c>
      <c r="F5" s="15" t="s">
        <v>96</v>
      </c>
      <c r="G5" s="15" t="s">
        <v>99</v>
      </c>
      <c r="H5" s="13"/>
      <c r="I5" s="15" t="b">
        <v>1</v>
      </c>
      <c r="J5" s="15" t="s">
        <v>189</v>
      </c>
      <c r="K5" s="15" t="s">
        <v>189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5" t="s">
        <v>190</v>
      </c>
      <c r="C6" s="15" t="s">
        <v>191</v>
      </c>
      <c r="D6" s="15" t="s">
        <v>11</v>
      </c>
      <c r="E6" s="15" t="s">
        <v>80</v>
      </c>
      <c r="F6" s="15" t="s">
        <v>76</v>
      </c>
      <c r="G6" s="15" t="s">
        <v>79</v>
      </c>
      <c r="H6" s="13"/>
      <c r="I6" s="15" t="b">
        <v>1</v>
      </c>
      <c r="J6" s="15" t="s">
        <v>192</v>
      </c>
      <c r="K6" s="15" t="s">
        <v>192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6.38"/>
    <col customWidth="1" min="3" max="3" width="6.38"/>
    <col customWidth="1" min="4" max="26" width="12.88"/>
  </cols>
  <sheetData>
    <row r="1">
      <c r="A1" s="29" t="s">
        <v>28</v>
      </c>
      <c r="B1" s="29" t="s">
        <v>193</v>
      </c>
      <c r="C1" s="29" t="s">
        <v>194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/>
      <c r="B2" s="15" t="s">
        <v>195</v>
      </c>
      <c r="C2" s="13">
        <f>COUNTA(ORDERS!A2:A1002)</f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5" t="s">
        <v>196</v>
      </c>
      <c r="C3" s="13">
        <f>SUM(ORDERS!U2:U1002)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5" t="s">
        <v>197</v>
      </c>
      <c r="C4" s="13">
        <f>COUNTA(TRANSACTIONS!A2:A1002)</f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5" t="s">
        <v>198</v>
      </c>
      <c r="C5" s="13">
        <f>SUM(INVENTORY!L2:L1002)</f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5" t="s">
        <v>199</v>
      </c>
      <c r="C6" s="13">
        <f>COUNTIF(ORDERS!Y2:Y1002,"PENDING")</f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/>
      <c r="B7" s="15" t="s">
        <v>200</v>
      </c>
      <c r="C7" s="13">
        <f>COUNTIF(ORDERS!Y2:Y1002,"COMPLETED")</f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/>
      <c r="B8" s="15" t="s">
        <v>201</v>
      </c>
      <c r="C8" s="13">
        <f>COUNTIFS(INVENTORY!J2:J1002,"&lt;=50")</f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5" t="s">
        <v>202</v>
      </c>
      <c r="C9" s="13">
        <f>COUNTIF(PRODUCTS!N2:N1002,"TRUE")</f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/>
      <c r="B10" s="15" t="s">
        <v>203</v>
      </c>
      <c r="C10" s="13">
        <f>COUNTA(ERROR_LOG!A2:A1002)-1</f>
        <v>-1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28</v>
      </c>
      <c r="B1" s="30" t="s">
        <v>204</v>
      </c>
      <c r="C1" s="30" t="s">
        <v>0</v>
      </c>
      <c r="D1" s="30" t="s">
        <v>130</v>
      </c>
      <c r="E1" s="30" t="s">
        <v>132</v>
      </c>
      <c r="F1" s="30" t="s">
        <v>205</v>
      </c>
      <c r="G1" s="30" t="s">
        <v>206</v>
      </c>
      <c r="H1" s="30" t="s">
        <v>134</v>
      </c>
      <c r="I1" s="30" t="s">
        <v>137</v>
      </c>
      <c r="J1" s="30" t="s">
        <v>29</v>
      </c>
      <c r="K1" s="30" t="s">
        <v>30</v>
      </c>
      <c r="L1" s="30" t="s">
        <v>6</v>
      </c>
      <c r="M1" s="30" t="s">
        <v>207</v>
      </c>
      <c r="N1" s="30" t="s">
        <v>208</v>
      </c>
      <c r="O1" s="30" t="s">
        <v>209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/>
      <c r="B2" s="33" t="s">
        <v>210</v>
      </c>
      <c r="C2" s="33" t="s">
        <v>211</v>
      </c>
      <c r="D2" s="33" t="s">
        <v>212</v>
      </c>
      <c r="E2" s="33" t="s">
        <v>213</v>
      </c>
      <c r="F2" s="33" t="s">
        <v>214</v>
      </c>
      <c r="G2" s="33" t="s">
        <v>215</v>
      </c>
      <c r="H2" s="33" t="s">
        <v>76</v>
      </c>
      <c r="I2" s="33" t="s">
        <v>87</v>
      </c>
      <c r="J2" s="33" t="s">
        <v>58</v>
      </c>
      <c r="K2" s="33" t="s">
        <v>59</v>
      </c>
      <c r="L2" s="33">
        <v>500.0</v>
      </c>
      <c r="M2" s="33" t="s">
        <v>216</v>
      </c>
      <c r="N2" s="33" t="s">
        <v>217</v>
      </c>
      <c r="O2" s="33" t="s">
        <v>218</v>
      </c>
    </row>
    <row r="3">
      <c r="A3" s="32"/>
      <c r="B3" s="33" t="s">
        <v>219</v>
      </c>
      <c r="C3" s="33" t="s">
        <v>220</v>
      </c>
      <c r="D3" s="33" t="s">
        <v>221</v>
      </c>
      <c r="E3" s="33" t="s">
        <v>222</v>
      </c>
      <c r="F3" s="33" t="s">
        <v>223</v>
      </c>
      <c r="G3" s="33" t="s">
        <v>224</v>
      </c>
      <c r="H3" s="33" t="s">
        <v>63</v>
      </c>
      <c r="I3" s="33" t="s">
        <v>76</v>
      </c>
      <c r="J3" s="33" t="s">
        <v>70</v>
      </c>
      <c r="K3" s="33" t="s">
        <v>71</v>
      </c>
      <c r="L3" s="33">
        <v>20.0</v>
      </c>
      <c r="M3" s="33" t="s">
        <v>216</v>
      </c>
      <c r="N3" s="33" t="s">
        <v>217</v>
      </c>
      <c r="O3" s="33" t="s">
        <v>218</v>
      </c>
    </row>
    <row r="4">
      <c r="A4" s="32"/>
      <c r="B4" s="33" t="s">
        <v>225</v>
      </c>
      <c r="C4" s="33" t="s">
        <v>226</v>
      </c>
      <c r="D4" s="33" t="s">
        <v>227</v>
      </c>
      <c r="E4" s="33" t="s">
        <v>146</v>
      </c>
      <c r="F4" s="33" t="s">
        <v>228</v>
      </c>
      <c r="G4" s="33" t="s">
        <v>229</v>
      </c>
      <c r="H4" s="33" t="s">
        <v>63</v>
      </c>
      <c r="I4" s="33" t="s">
        <v>87</v>
      </c>
      <c r="J4" s="33" t="s">
        <v>70</v>
      </c>
      <c r="K4" s="32"/>
      <c r="L4" s="33">
        <v>10.0</v>
      </c>
      <c r="M4" s="33" t="s">
        <v>216</v>
      </c>
      <c r="N4" s="33" t="s">
        <v>217</v>
      </c>
      <c r="O4" s="33" t="s">
        <v>218</v>
      </c>
    </row>
    <row r="5">
      <c r="B5" s="34" t="s">
        <v>230</v>
      </c>
      <c r="C5" s="34" t="s">
        <v>231</v>
      </c>
      <c r="D5" s="34" t="s">
        <v>232</v>
      </c>
      <c r="E5" s="34" t="s">
        <v>146</v>
      </c>
      <c r="F5" s="34" t="s">
        <v>214</v>
      </c>
      <c r="G5" s="34" t="s">
        <v>233</v>
      </c>
      <c r="H5" s="34" t="s">
        <v>63</v>
      </c>
      <c r="I5" s="34" t="s">
        <v>76</v>
      </c>
      <c r="J5" s="34" t="s">
        <v>58</v>
      </c>
      <c r="L5" s="34">
        <v>3.0</v>
      </c>
      <c r="M5" s="34" t="s">
        <v>216</v>
      </c>
      <c r="N5" s="34" t="s">
        <v>217</v>
      </c>
      <c r="O5" s="34" t="s">
        <v>218</v>
      </c>
    </row>
    <row r="6">
      <c r="B6" s="34" t="s">
        <v>234</v>
      </c>
      <c r="C6" s="34" t="s">
        <v>235</v>
      </c>
      <c r="D6" s="34" t="s">
        <v>236</v>
      </c>
      <c r="E6" s="34" t="s">
        <v>146</v>
      </c>
      <c r="F6" s="34" t="s">
        <v>214</v>
      </c>
      <c r="G6" s="34" t="s">
        <v>237</v>
      </c>
      <c r="H6" s="34" t="s">
        <v>63</v>
      </c>
      <c r="I6" s="34" t="s">
        <v>76</v>
      </c>
      <c r="J6" s="34" t="s">
        <v>58</v>
      </c>
      <c r="L6" s="34">
        <v>1.0</v>
      </c>
      <c r="M6" s="34" t="s">
        <v>216</v>
      </c>
      <c r="N6" s="34" t="s">
        <v>217</v>
      </c>
      <c r="O6" s="34" t="s">
        <v>218</v>
      </c>
    </row>
    <row r="7">
      <c r="B7" s="34" t="s">
        <v>238</v>
      </c>
      <c r="C7" s="34" t="s">
        <v>239</v>
      </c>
      <c r="D7" s="34" t="s">
        <v>240</v>
      </c>
      <c r="E7" s="34" t="s">
        <v>146</v>
      </c>
      <c r="F7" s="34" t="s">
        <v>214</v>
      </c>
      <c r="G7" s="34" t="s">
        <v>241</v>
      </c>
      <c r="H7" s="34" t="s">
        <v>63</v>
      </c>
      <c r="I7" s="34" t="s">
        <v>76</v>
      </c>
      <c r="J7" s="34" t="s">
        <v>58</v>
      </c>
      <c r="L7" s="34">
        <v>5.0</v>
      </c>
      <c r="M7" s="34" t="s">
        <v>216</v>
      </c>
      <c r="N7" s="34" t="s">
        <v>217</v>
      </c>
      <c r="O7" s="34" t="s">
        <v>218</v>
      </c>
    </row>
    <row r="8">
      <c r="B8" s="34" t="s">
        <v>242</v>
      </c>
      <c r="C8" s="34" t="s">
        <v>243</v>
      </c>
      <c r="D8" s="34" t="s">
        <v>244</v>
      </c>
      <c r="E8" s="34" t="s">
        <v>146</v>
      </c>
      <c r="F8" s="34" t="s">
        <v>214</v>
      </c>
      <c r="G8" s="34" t="s">
        <v>245</v>
      </c>
      <c r="H8" s="34" t="s">
        <v>63</v>
      </c>
      <c r="I8" s="34" t="s">
        <v>76</v>
      </c>
      <c r="J8" s="34" t="s">
        <v>74</v>
      </c>
      <c r="L8" s="34">
        <v>11.0</v>
      </c>
      <c r="M8" s="34" t="s">
        <v>216</v>
      </c>
      <c r="N8" s="34" t="s">
        <v>217</v>
      </c>
      <c r="O8" s="34" t="s">
        <v>218</v>
      </c>
    </row>
    <row r="9">
      <c r="B9" s="34" t="s">
        <v>246</v>
      </c>
      <c r="C9" s="34" t="s">
        <v>247</v>
      </c>
      <c r="D9" s="34" t="s">
        <v>248</v>
      </c>
      <c r="E9" s="34" t="s">
        <v>146</v>
      </c>
      <c r="F9" s="34" t="s">
        <v>214</v>
      </c>
      <c r="G9" s="34" t="s">
        <v>249</v>
      </c>
      <c r="H9" s="34" t="s">
        <v>63</v>
      </c>
      <c r="I9" s="34" t="s">
        <v>76</v>
      </c>
      <c r="J9" s="34" t="s">
        <v>58</v>
      </c>
      <c r="L9" s="34">
        <v>10.0</v>
      </c>
      <c r="M9" s="34" t="s">
        <v>216</v>
      </c>
      <c r="N9" s="34" t="s">
        <v>217</v>
      </c>
      <c r="O9" s="34" t="s">
        <v>218</v>
      </c>
    </row>
    <row r="10">
      <c r="B10" s="34" t="s">
        <v>250</v>
      </c>
      <c r="C10" s="34" t="s">
        <v>251</v>
      </c>
      <c r="D10" s="34" t="s">
        <v>252</v>
      </c>
      <c r="E10" s="34" t="s">
        <v>146</v>
      </c>
      <c r="F10" s="34" t="s">
        <v>214</v>
      </c>
      <c r="G10" s="34" t="s">
        <v>249</v>
      </c>
      <c r="H10" s="34" t="s">
        <v>76</v>
      </c>
      <c r="I10" s="34" t="s">
        <v>87</v>
      </c>
      <c r="J10" s="34" t="s">
        <v>74</v>
      </c>
      <c r="L10" s="34">
        <v>10.0</v>
      </c>
      <c r="M10" s="34" t="s">
        <v>216</v>
      </c>
      <c r="N10" s="34" t="s">
        <v>217</v>
      </c>
      <c r="O10" s="34" t="s">
        <v>218</v>
      </c>
    </row>
  </sheetData>
  <drawing r:id="rId1"/>
</worksheet>
</file>